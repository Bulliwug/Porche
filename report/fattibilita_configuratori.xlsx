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epilogo" sheetId="1" state="visible" r:id="rId3"/>
    <sheet name="Prossimi passi" sheetId="2" state="visible" r:id="rId4"/>
    <sheet name="Metodo" sheetId="3" state="visible" r:id="rId5"/>
  </sheets>
  <definedNames>
    <definedName function="false" hidden="true" localSheetId="0" name="_xlnm._FilterDatabase" vbProcedure="false">Riepilogo!$A$12:$K$25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<sst xmlns="http://schemas.openxmlformats.org/spreadsheetml/2006/main" count="179" uniqueCount="114">
  <si>
    <t xml:space="preserve">Fattibilità scraping configuratori auto – mercato Italia</t>
  </si>
  <si>
    <t xml:space="preserve">Test eseguiti il 15/10/2026 da server cloud: richiesta HTTP semplice, browser Chromium headless, apertura configuratore di un modello.</t>
  </si>
  <si>
    <t xml:space="preserve">Sintesi</t>
  </si>
  <si>
    <t xml:space="preserve">Accessibile con prezzi</t>
  </si>
  <si>
    <t xml:space="preserve">Accessibile senza prezzi</t>
  </si>
  <si>
    <t xml:space="preserve">Bloccato</t>
  </si>
  <si>
    <t xml:space="preserve">Da verificare</t>
  </si>
  <si>
    <t xml:space="preserve">Totale case analizzate</t>
  </si>
  <si>
    <t xml:space="preserve">Casa</t>
  </si>
  <si>
    <t xml:space="preserve">Esito</t>
  </si>
  <si>
    <t xml:space="preserve">Accesso HTTP semplice</t>
  </si>
  <si>
    <t xml:space="preserve">Accesso con browser</t>
  </si>
  <si>
    <t xml:space="preserve">Prezzi visibili</t>
  </si>
  <si>
    <t xml:space="preserve">Fonte dati / cosa contiene</t>
  </si>
  <si>
    <t xml:space="preserve">Esempio rilevato</t>
  </si>
  <si>
    <t xml:space="preserve">Difficoltà scraper</t>
  </si>
  <si>
    <t xml:space="preserve">Priorità consigliata</t>
  </si>
  <si>
    <t xml:space="preserve">Note</t>
  </si>
  <si>
    <t xml:space="preserve">URL testato</t>
  </si>
  <si>
    <t xml:space="preserve">Porsche</t>
  </si>
  <si>
    <t xml:space="preserve">Sì</t>
  </si>
  <si>
    <t xml:space="preserve">Dati nella pagina (turbo-stream) + API dati tecnici e dotazione</t>
  </si>
  <si>
    <t xml:space="preserve">911 Carrera GTS da 184.323 €</t>
  </si>
  <si>
    <t xml:space="preserve">Fatto</t>
  </si>
  <si>
    <t xml:space="preserve">Scraper completato: 84 modelli, 23.137 optional. Testato anche DE, US, UK.</t>
  </si>
  <si>
    <t xml:space="preserve">https://configurator.porsche.com/it-IT/mode/model/992142</t>
  </si>
  <si>
    <t xml:space="preserve">Maserati</t>
  </si>
  <si>
    <t xml:space="preserve">Sì (API configuratore)</t>
  </si>
  <si>
    <t xml:space="preserve">API pubbliche: carGrid (optional, prezzi, pacchetti, regole di compatibilità, tasse, dotazione di serie), countryProp (dati tecnici)</t>
  </si>
  <si>
    <t xml:space="preserve">Grecale Modena 92.900 €; optional da 554 €</t>
  </si>
  <si>
    <t xml:space="preserve">Facile</t>
  </si>
  <si>
    <t xml:space="preserve">Dati più ricchi di Porsche: include le regole di compatibilità tra optional. Mercato = codice Paese (104 = Italia).</t>
  </si>
  <si>
    <t xml:space="preserve">https://www.maserati.com/it/it/shopping-tools/configurator?modelCode=7822080</t>
  </si>
  <si>
    <t xml:space="preserve">BMW</t>
  </si>
  <si>
    <t xml:space="preserve">No (API richiedono token)</t>
  </si>
  <si>
    <t xml:space="preserve">API listino (prod.ucp.bmw.cloud): prezzi lordi/netti, tasse, optional, accessori</t>
  </si>
  <si>
    <t xml:space="preserve">Modello F70 da 40.200 €; accessori da 255 €</t>
  </si>
  <si>
    <t xml:space="preserve">Media</t>
  </si>
  <si>
    <t xml:space="preserve">Le API rispondono solo col token generato dal sito nel browser: serve Playwright che intercetta le risposte.</t>
  </si>
  <si>
    <t xml:space="preserve">https://configure.bmw.it/it_IT/configure/F70/11GF</t>
  </si>
  <si>
    <t xml:space="preserve">Alfa Romeo</t>
  </si>
  <si>
    <t xml:space="preserve">No (Access Denied)</t>
  </si>
  <si>
    <t xml:space="preserve">API pricing Stellantis + file dati per modello (~1,5 MB)</t>
  </si>
  <si>
    <t xml:space="preserve">Giulia Sprint 42.645 €</t>
  </si>
  <si>
    <t xml:space="preserve">Serve il browser. Stessa piattaforma Stellantis di altri marchi del gruppo.</t>
  </si>
  <si>
    <t xml:space="preserve">https://www.alfaromeo.it/configuratore</t>
  </si>
  <si>
    <t xml:space="preserve">Lexus</t>
  </si>
  <si>
    <t xml:space="preserve">Sì (sito)</t>
  </si>
  <si>
    <t xml:space="preserve">Prezzi visibili nella pagina; fonte dati da individuare</t>
  </si>
  <si>
    <t xml:space="preserve">NX da 51.200 €; optional da 321 €</t>
  </si>
  <si>
    <t xml:space="preserve">Il configuratore va aperto col browser; non ho ancora individuato l'API dei dati.</t>
  </si>
  <si>
    <t xml:space="preserve">https://www.lexus.it/gamma/nx/build</t>
  </si>
  <si>
    <t xml:space="preserve">Ferrari</t>
  </si>
  <si>
    <t xml:space="preserve">No</t>
  </si>
  <si>
    <t xml:space="preserve">Configuratore 3D con optional e allestimenti</t>
  </si>
  <si>
    <t xml:space="preserve">—</t>
  </si>
  <si>
    <t xml:space="preserve">Utile solo per optional e allestimenti, non per i costi.</t>
  </si>
  <si>
    <t xml:space="preserve">https://carconfigurator.ferrari.com/it_IT/ferrari_car_configurator/296gtb</t>
  </si>
  <si>
    <t xml:space="preserve">Lamborghini</t>
  </si>
  <si>
    <t xml:space="preserve">Configuratore con optional e dati tecnici principali</t>
  </si>
  <si>
    <t xml:space="preserve">Urus SE: 800 CV, 312 km/h, 0-100 3,4 s</t>
  </si>
  <si>
    <t xml:space="preserve">Nessun prezzo pubblicato nel configuratore.</t>
  </si>
  <si>
    <t xml:space="preserve">https://configurator.lamborghini.com/configurator/model/32005-20111/MBV-24717-2027</t>
  </si>
  <si>
    <t xml:space="preserve">Aston Martin</t>
  </si>
  <si>
    <t xml:space="preserve">Probabilmente no</t>
  </si>
  <si>
    <t xml:space="preserve">Configuratore regionale (chiede di scegliere regione e lingua)</t>
  </si>
  <si>
    <t xml:space="preserve">Da valutare</t>
  </si>
  <si>
    <t xml:space="preserve">Bloccato alla scelta della regione: non sono arrivato agli optional.</t>
  </si>
  <si>
    <t xml:space="preserve">https://configurator.astonmartin.com/INT/configuration/AM372</t>
  </si>
  <si>
    <t xml:space="preserve">Land Rover</t>
  </si>
  <si>
    <t xml:space="preserve">Non verificato</t>
  </si>
  <si>
    <t xml:space="preserve">Configuratore non trovato in automatico</t>
  </si>
  <si>
    <t xml:space="preserve">Il sito risponde ma il link al configuratore va trovato a mano.</t>
  </si>
  <si>
    <t xml:space="preserve">https://www.landrover.it/</t>
  </si>
  <si>
    <t xml:space="preserve">Mercedes-Benz</t>
  </si>
  <si>
    <t xml:space="preserve">No (403)</t>
  </si>
  <si>
    <t xml:space="preserve">No (403 anti-bot)</t>
  </si>
  <si>
    <t xml:space="preserve">Non fattibile da qui</t>
  </si>
  <si>
    <t xml:space="preserve">Messaggio anti-bot anche con browser. Verificare l'API ufficiale per sviluppatori o provare da rete non cloud.</t>
  </si>
  <si>
    <t xml:space="preserve">https://www.mercedes-benz.it/</t>
  </si>
  <si>
    <t xml:space="preserve">Audi</t>
  </si>
  <si>
    <t xml:space="preserve">Protezione anti-bot (Akamai) anche con browser.</t>
  </si>
  <si>
    <t xml:space="preserve">https://www.audi.it/</t>
  </si>
  <si>
    <t xml:space="preserve">Bentley</t>
  </si>
  <si>
    <t xml:space="preserve">No (Access Denied / 502)</t>
  </si>
  <si>
    <t xml:space="preserve">Protezione anti-bot anche con browser.</t>
  </si>
  <si>
    <t xml:space="preserve">https://configurator.bentleymotors.com/</t>
  </si>
  <si>
    <t xml:space="preserve">Tesla</t>
  </si>
  <si>
    <t xml:space="preserve">https://www.tesla.com/it_it/models/design</t>
  </si>
  <si>
    <t xml:space="preserve">Priorità: 0 = già fatto, 1 = da fare per prima; '—' = non fattibile da qui.</t>
  </si>
  <si>
    <t xml:space="preserve">Passo</t>
  </si>
  <si>
    <t xml:space="preserve">Attività</t>
  </si>
  <si>
    <t xml:space="preserve">Maserati: scraper via API pubbliche</t>
  </si>
  <si>
    <t xml:space="preserve">Facile; include regole di compatibilità tra optional</t>
  </si>
  <si>
    <t xml:space="preserve">BMW: scraper con browser (Playwright) che intercetta le API di listino</t>
  </si>
  <si>
    <t xml:space="preserve">Serve il token generato dal sito</t>
  </si>
  <si>
    <t xml:space="preserve">Alfa Romeo: scraper con browser</t>
  </si>
  <si>
    <t xml:space="preserve">Piattaforma Stellantis, riusabile per altri marchi del gruppo</t>
  </si>
  <si>
    <t xml:space="preserve">Lexus: individuare la fonte dati e scrivere lo scraper</t>
  </si>
  <si>
    <t xml:space="preserve">Ferrari / Lamborghini: solo optional e specifiche (senza prezzi)</t>
  </si>
  <si>
    <t xml:space="preserve">Se utile per il confronto</t>
  </si>
  <si>
    <t xml:space="preserve">Mercati esteri per ogni casa abilitata</t>
  </si>
  <si>
    <t xml:space="preserve">Porsche già testata su DE/US/UK</t>
  </si>
  <si>
    <t xml:space="preserve">Mercedes, Audi, Bentley, Tesla: rivalutare da rete non cloud o con fonti ufficiali</t>
  </si>
  <si>
    <t xml:space="preserve">Non aggirare le protezioni anti-bot</t>
  </si>
  <si>
    <t xml:space="preserve">Metodo di verifica (15/10/2026, mercato Italia, un modello per casa):</t>
  </si>
  <si>
    <t xml:space="preserve">1. Richiesta HTTP semplice con intestazioni da browser: verifica se il sito risponde senza browser.</t>
  </si>
  <si>
    <t xml:space="preserve">2. Apertura con Chromium headless (Playwright), senza tecniche per aggirare blocchi: verifica caricamento, prezzi nel testo, risposte JSON.</t>
  </si>
  <si>
    <t xml:space="preserve">3. Apertura del configuratore di un modello: verifica presenza prezzi optional e API dati strutturati.</t>
  </si>
  <si>
    <t xml:space="preserve">Limiti:</t>
  </si>
  <si>
    <t xml:space="preserve">- I test partono da un server cloud: alcuni blocchi anti-bot potrebbero non presentarsi da una rete domestica/aziendale.</t>
  </si>
  <si>
    <t xml:space="preserve">- Un solo modello per casa: è una verifica di fattibilità, non un'estrazione completa.</t>
  </si>
  <si>
    <t xml:space="preserve">- Mercati esteri verificati solo per Porsche (DE, US, UK).</t>
  </si>
  <si>
    <t xml:space="preserve">- Prima di ogni scraper vanno controllati i termini d'uso del sito.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</si>
</sst>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11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D9D9D9"/>
        <bgColor rgb="FFC6EFCE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onfigurator.porsche.com/it-IT/mode/model/992142" TargetMode="External"/><Relationship Id="rId2" Type="http://schemas.openxmlformats.org/officeDocument/2006/relationships/hyperlink" Target="https://www.maserati.com/it/it/shopping-tools/configurator?modelCode=7822080" TargetMode="External"/><Relationship Id="rId3" Type="http://schemas.openxmlformats.org/officeDocument/2006/relationships/hyperlink" Target="https://configure.bmw.it/it_IT/configure/F70/11GF" TargetMode="External"/><Relationship Id="rId4" Type="http://schemas.openxmlformats.org/officeDocument/2006/relationships/hyperlink" Target="https://www.alfaromeo.it/configuratore" TargetMode="External"/><Relationship Id="rId5" Type="http://schemas.openxmlformats.org/officeDocument/2006/relationships/hyperlink" Target="https://www.lexus.it/gamma/nx/build" TargetMode="External"/><Relationship Id="rId6" Type="http://schemas.openxmlformats.org/officeDocument/2006/relationships/hyperlink" Target="https://carconfigurator.ferrari.com/it_IT/ferrari_car_configurator/296gtb" TargetMode="External"/><Relationship Id="rId7" Type="http://schemas.openxmlformats.org/officeDocument/2006/relationships/hyperlink" Target="https://configurator.lamborghini.com/configurator/model/32005-20111/MBV-24717-2027" TargetMode="External"/><Relationship Id="rId8" Type="http://schemas.openxmlformats.org/officeDocument/2006/relationships/hyperlink" Target="https://configurator.astonmartin.com/INT/configuration/AM372" TargetMode="External"/><Relationship Id="rId9" Type="http://schemas.openxmlformats.org/officeDocument/2006/relationships/hyperlink" Target="https://www.landrover.it/" TargetMode="External"/><Relationship Id="rId10" Type="http://schemas.openxmlformats.org/officeDocument/2006/relationships/hyperlink" Target="https://www.mercedes-benz.it/" TargetMode="External"/><Relationship Id="rId11" Type="http://schemas.openxmlformats.org/officeDocument/2006/relationships/hyperlink" Target="https://www.audi.it/" TargetMode="External"/><Relationship Id="rId12" Type="http://schemas.openxmlformats.org/officeDocument/2006/relationships/hyperlink" Target="https://configurator.bentleymotors.com/" TargetMode="External"/><Relationship Id="rId13" Type="http://schemas.openxmlformats.org/officeDocument/2006/relationships/hyperlink" Target="https://www.tesla.com/it_it/models/design" TargetMode="External"/><Relationship Id="rId1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4" min="3" style="0" width="20"/>
    <col collapsed="false" customWidth="true" hidden="false" outlineLevel="0" max="5" min="5" style="0" width="13"/>
    <col collapsed="false" customWidth="true" hidden="false" outlineLevel="0" max="6" min="6" style="0" width="42"/>
    <col collapsed="false" customWidth="true" hidden="false" outlineLevel="0" max="7" min="7" style="0" width="28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48"/>
    <col collapsed="false" customWidth="true" hidden="false" outlineLevel="0" max="11" min="11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COUNTIF($B$13:$B$25,A5)</f>
        <v>5</v>
      </c>
    </row>
    <row r="6" customFormat="false" ht="15" hidden="false" customHeight="false" outlineLevel="0" collapsed="false">
      <c r="A6" s="6" t="s">
        <v>4</v>
      </c>
      <c r="B6" s="5" t="n">
        <f aca="false">COUNTIF($B$13:$B$25,A6)</f>
        <v>2</v>
      </c>
    </row>
    <row r="7" customFormat="false" ht="15" hidden="false" customHeight="false" outlineLevel="0" collapsed="false">
      <c r="A7" s="7" t="s">
        <v>5</v>
      </c>
      <c r="B7" s="5" t="n">
        <f aca="false">COUNTIF($B$13:$B$25,A7)</f>
        <v>4</v>
      </c>
    </row>
    <row r="8" customFormat="false" ht="15" hidden="false" customHeight="false" outlineLevel="0" collapsed="false">
      <c r="A8" s="8" t="s">
        <v>6</v>
      </c>
      <c r="B8" s="5" t="n">
        <f aca="false">COUNTIF($B$13:$B$25,A8)</f>
        <v>2</v>
      </c>
    </row>
    <row r="9" customFormat="false" ht="15" hidden="false" customHeight="false" outlineLevel="0" collapsed="false">
      <c r="A9" s="5" t="s">
        <v>7</v>
      </c>
      <c r="B9" s="5" t="n">
        <f aca="false">SUM(B5:B8)</f>
        <v>13</v>
      </c>
    </row>
    <row r="12" customFormat="false" ht="39.55" hidden="false" customHeight="false" outlineLevel="0" collapsed="false">
      <c r="A12" s="9" t="s">
        <v>8</v>
      </c>
      <c r="B12" s="9" t="s">
        <v>9</v>
      </c>
      <c r="C12" s="9" t="s">
        <v>10</v>
      </c>
      <c r="D12" s="9" t="s">
        <v>11</v>
      </c>
      <c r="E12" s="9" t="s">
        <v>12</v>
      </c>
      <c r="F12" s="9" t="s">
        <v>13</v>
      </c>
      <c r="G12" s="9" t="s">
        <v>14</v>
      </c>
      <c r="H12" s="9" t="s">
        <v>15</v>
      </c>
      <c r="I12" s="9" t="s">
        <v>16</v>
      </c>
      <c r="J12" s="9" t="s">
        <v>17</v>
      </c>
      <c r="K12" s="9" t="s">
        <v>18</v>
      </c>
    </row>
    <row r="13" customFormat="false" ht="23.85" hidden="false" customHeight="false" outlineLevel="0" collapsed="false">
      <c r="A13" s="10" t="s">
        <v>19</v>
      </c>
      <c r="B13" s="11" t="s">
        <v>3</v>
      </c>
      <c r="C13" s="12" t="s">
        <v>20</v>
      </c>
      <c r="D13" s="12" t="s">
        <v>20</v>
      </c>
      <c r="E13" s="12" t="s">
        <v>20</v>
      </c>
      <c r="F13" s="13" t="s">
        <v>21</v>
      </c>
      <c r="G13" s="13" t="s">
        <v>22</v>
      </c>
      <c r="H13" s="12" t="s">
        <v>23</v>
      </c>
      <c r="I13" s="12" t="n">
        <v>0</v>
      </c>
      <c r="J13" s="13" t="s">
        <v>24</v>
      </c>
      <c r="K13" s="14" t="s">
        <v>25</v>
      </c>
    </row>
    <row r="14" customFormat="false" ht="35.05" hidden="false" customHeight="false" outlineLevel="0" collapsed="false">
      <c r="A14" s="10" t="s">
        <v>26</v>
      </c>
      <c r="B14" s="11" t="s">
        <v>3</v>
      </c>
      <c r="C14" s="12" t="s">
        <v>27</v>
      </c>
      <c r="D14" s="12" t="s">
        <v>20</v>
      </c>
      <c r="E14" s="12" t="s">
        <v>20</v>
      </c>
      <c r="F14" s="13" t="s">
        <v>28</v>
      </c>
      <c r="G14" s="13" t="s">
        <v>29</v>
      </c>
      <c r="H14" s="12" t="s">
        <v>30</v>
      </c>
      <c r="I14" s="12" t="n">
        <v>1</v>
      </c>
      <c r="J14" s="13" t="s">
        <v>31</v>
      </c>
      <c r="K14" s="14" t="s">
        <v>32</v>
      </c>
    </row>
    <row r="15" customFormat="false" ht="23.85" hidden="false" customHeight="false" outlineLevel="0" collapsed="false">
      <c r="A15" s="10" t="s">
        <v>33</v>
      </c>
      <c r="B15" s="11" t="s">
        <v>3</v>
      </c>
      <c r="C15" s="12" t="s">
        <v>34</v>
      </c>
      <c r="D15" s="12" t="s">
        <v>20</v>
      </c>
      <c r="E15" s="12" t="s">
        <v>20</v>
      </c>
      <c r="F15" s="13" t="s">
        <v>35</v>
      </c>
      <c r="G15" s="13" t="s">
        <v>36</v>
      </c>
      <c r="H15" s="12" t="s">
        <v>37</v>
      </c>
      <c r="I15" s="12" t="n">
        <v>2</v>
      </c>
      <c r="J15" s="13" t="s">
        <v>38</v>
      </c>
      <c r="K15" s="14" t="s">
        <v>39</v>
      </c>
    </row>
    <row r="16" customFormat="false" ht="23.85" hidden="false" customHeight="false" outlineLevel="0" collapsed="false">
      <c r="A16" s="10" t="s">
        <v>40</v>
      </c>
      <c r="B16" s="11" t="s">
        <v>3</v>
      </c>
      <c r="C16" s="12" t="s">
        <v>41</v>
      </c>
      <c r="D16" s="12" t="s">
        <v>20</v>
      </c>
      <c r="E16" s="12" t="s">
        <v>20</v>
      </c>
      <c r="F16" s="13" t="s">
        <v>42</v>
      </c>
      <c r="G16" s="13" t="s">
        <v>43</v>
      </c>
      <c r="H16" s="12" t="s">
        <v>37</v>
      </c>
      <c r="I16" s="12" t="n">
        <v>3</v>
      </c>
      <c r="J16" s="13" t="s">
        <v>44</v>
      </c>
      <c r="K16" s="14" t="s">
        <v>45</v>
      </c>
    </row>
    <row r="17" customFormat="false" ht="23.85" hidden="false" customHeight="false" outlineLevel="0" collapsed="false">
      <c r="A17" s="10" t="s">
        <v>46</v>
      </c>
      <c r="B17" s="11" t="s">
        <v>3</v>
      </c>
      <c r="C17" s="12" t="s">
        <v>47</v>
      </c>
      <c r="D17" s="12" t="s">
        <v>20</v>
      </c>
      <c r="E17" s="12" t="s">
        <v>20</v>
      </c>
      <c r="F17" s="13" t="s">
        <v>48</v>
      </c>
      <c r="G17" s="13" t="s">
        <v>49</v>
      </c>
      <c r="H17" s="12" t="s">
        <v>37</v>
      </c>
      <c r="I17" s="12" t="n">
        <v>4</v>
      </c>
      <c r="J17" s="13" t="s">
        <v>50</v>
      </c>
      <c r="K17" s="14" t="s">
        <v>51</v>
      </c>
    </row>
    <row r="18" customFormat="false" ht="15" hidden="false" customHeight="false" outlineLevel="0" collapsed="false">
      <c r="A18" s="10" t="s">
        <v>52</v>
      </c>
      <c r="B18" s="15" t="s">
        <v>4</v>
      </c>
      <c r="C18" s="12" t="s">
        <v>20</v>
      </c>
      <c r="D18" s="12" t="s">
        <v>20</v>
      </c>
      <c r="E18" s="12" t="s">
        <v>53</v>
      </c>
      <c r="F18" s="13" t="s">
        <v>54</v>
      </c>
      <c r="G18" s="13" t="s">
        <v>55</v>
      </c>
      <c r="H18" s="12" t="s">
        <v>37</v>
      </c>
      <c r="I18" s="12" t="n">
        <v>5</v>
      </c>
      <c r="J18" s="13" t="s">
        <v>56</v>
      </c>
      <c r="K18" s="14" t="s">
        <v>57</v>
      </c>
    </row>
    <row r="19" customFormat="false" ht="23.85" hidden="false" customHeight="false" outlineLevel="0" collapsed="false">
      <c r="A19" s="10" t="s">
        <v>58</v>
      </c>
      <c r="B19" s="15" t="s">
        <v>4</v>
      </c>
      <c r="C19" s="12" t="s">
        <v>20</v>
      </c>
      <c r="D19" s="12" t="s">
        <v>20</v>
      </c>
      <c r="E19" s="12" t="s">
        <v>53</v>
      </c>
      <c r="F19" s="13" t="s">
        <v>59</v>
      </c>
      <c r="G19" s="13" t="s">
        <v>60</v>
      </c>
      <c r="H19" s="12" t="s">
        <v>37</v>
      </c>
      <c r="I19" s="12" t="n">
        <v>6</v>
      </c>
      <c r="J19" s="13" t="s">
        <v>61</v>
      </c>
      <c r="K19" s="14" t="s">
        <v>62</v>
      </c>
    </row>
    <row r="20" customFormat="false" ht="23.85" hidden="false" customHeight="false" outlineLevel="0" collapsed="false">
      <c r="A20" s="10" t="s">
        <v>63</v>
      </c>
      <c r="B20" s="16" t="s">
        <v>6</v>
      </c>
      <c r="C20" s="12" t="s">
        <v>20</v>
      </c>
      <c r="D20" s="12" t="s">
        <v>20</v>
      </c>
      <c r="E20" s="12" t="s">
        <v>64</v>
      </c>
      <c r="F20" s="13" t="s">
        <v>65</v>
      </c>
      <c r="G20" s="13" t="s">
        <v>55</v>
      </c>
      <c r="H20" s="12" t="s">
        <v>66</v>
      </c>
      <c r="I20" s="12" t="n">
        <v>7</v>
      </c>
      <c r="J20" s="13" t="s">
        <v>67</v>
      </c>
      <c r="K20" s="14" t="s">
        <v>68</v>
      </c>
    </row>
    <row r="21" customFormat="false" ht="23.85" hidden="false" customHeight="false" outlineLevel="0" collapsed="false">
      <c r="A21" s="10" t="s">
        <v>69</v>
      </c>
      <c r="B21" s="16" t="s">
        <v>6</v>
      </c>
      <c r="C21" s="12" t="s">
        <v>47</v>
      </c>
      <c r="D21" s="12" t="s">
        <v>20</v>
      </c>
      <c r="E21" s="12" t="s">
        <v>70</v>
      </c>
      <c r="F21" s="13" t="s">
        <v>71</v>
      </c>
      <c r="G21" s="13" t="s">
        <v>55</v>
      </c>
      <c r="H21" s="12" t="s">
        <v>66</v>
      </c>
      <c r="I21" s="12" t="n">
        <v>8</v>
      </c>
      <c r="J21" s="13" t="s">
        <v>72</v>
      </c>
      <c r="K21" s="14" t="s">
        <v>73</v>
      </c>
    </row>
    <row r="22" customFormat="false" ht="23.85" hidden="false" customHeight="false" outlineLevel="0" collapsed="false">
      <c r="A22" s="10" t="s">
        <v>74</v>
      </c>
      <c r="B22" s="17" t="s">
        <v>5</v>
      </c>
      <c r="C22" s="12" t="s">
        <v>75</v>
      </c>
      <c r="D22" s="12" t="s">
        <v>76</v>
      </c>
      <c r="E22" s="12" t="s">
        <v>55</v>
      </c>
      <c r="F22" s="13" t="s">
        <v>55</v>
      </c>
      <c r="G22" s="13" t="s">
        <v>55</v>
      </c>
      <c r="H22" s="12" t="s">
        <v>77</v>
      </c>
      <c r="I22" s="12" t="s">
        <v>55</v>
      </c>
      <c r="J22" s="13" t="s">
        <v>78</v>
      </c>
      <c r="K22" s="14" t="s">
        <v>79</v>
      </c>
    </row>
    <row r="23" customFormat="false" ht="15" hidden="false" customHeight="false" outlineLevel="0" collapsed="false">
      <c r="A23" s="10" t="s">
        <v>80</v>
      </c>
      <c r="B23" s="17" t="s">
        <v>5</v>
      </c>
      <c r="C23" s="12" t="s">
        <v>41</v>
      </c>
      <c r="D23" s="12" t="s">
        <v>41</v>
      </c>
      <c r="E23" s="12" t="s">
        <v>55</v>
      </c>
      <c r="F23" s="13" t="s">
        <v>55</v>
      </c>
      <c r="G23" s="13" t="s">
        <v>55</v>
      </c>
      <c r="H23" s="12" t="s">
        <v>77</v>
      </c>
      <c r="I23" s="12" t="s">
        <v>55</v>
      </c>
      <c r="J23" s="13" t="s">
        <v>81</v>
      </c>
      <c r="K23" s="14" t="s">
        <v>82</v>
      </c>
    </row>
    <row r="24" customFormat="false" ht="23.85" hidden="false" customHeight="false" outlineLevel="0" collapsed="false">
      <c r="A24" s="10" t="s">
        <v>83</v>
      </c>
      <c r="B24" s="17" t="s">
        <v>5</v>
      </c>
      <c r="C24" s="12" t="s">
        <v>41</v>
      </c>
      <c r="D24" s="12" t="s">
        <v>84</v>
      </c>
      <c r="E24" s="12" t="s">
        <v>55</v>
      </c>
      <c r="F24" s="13" t="s">
        <v>55</v>
      </c>
      <c r="G24" s="13" t="s">
        <v>55</v>
      </c>
      <c r="H24" s="12" t="s">
        <v>77</v>
      </c>
      <c r="I24" s="12" t="s">
        <v>55</v>
      </c>
      <c r="J24" s="13" t="s">
        <v>85</v>
      </c>
      <c r="K24" s="14" t="s">
        <v>86</v>
      </c>
    </row>
    <row r="25" customFormat="false" ht="15" hidden="false" customHeight="false" outlineLevel="0" collapsed="false">
      <c r="A25" s="10" t="s">
        <v>87</v>
      </c>
      <c r="B25" s="17" t="s">
        <v>5</v>
      </c>
      <c r="C25" s="12" t="s">
        <v>41</v>
      </c>
      <c r="D25" s="12" t="s">
        <v>41</v>
      </c>
      <c r="E25" s="12" t="s">
        <v>55</v>
      </c>
      <c r="F25" s="13" t="s">
        <v>55</v>
      </c>
      <c r="G25" s="13" t="s">
        <v>55</v>
      </c>
      <c r="H25" s="12" t="s">
        <v>77</v>
      </c>
      <c r="I25" s="12" t="s">
        <v>55</v>
      </c>
      <c r="J25" s="13" t="s">
        <v>85</v>
      </c>
      <c r="K25" s="14" t="s">
        <v>88</v>
      </c>
    </row>
    <row r="27" customFormat="false" ht="15" hidden="false" customHeight="false" outlineLevel="0" collapsed="false">
      <c r="A27" s="2" t="s">
        <v>89</v>
      </c>
    </row>
  </sheetData>
  <autoFilter ref="A12:K25"/>
  <hyperlinks>
    <hyperlink ref="K13" r:id="rId1" display="https://configurator.porsche.com/it-IT/mode/model/992142"/>
    <hyperlink ref="K14" r:id="rId2" display="https://www.maserati.com/it/it/shopping-tools/configurator?modelCode=7822080"/>
    <hyperlink ref="K15" r:id="rId3" display="https://configure.bmw.it/it_IT/configure/F70/11GF"/>
    <hyperlink ref="K16" r:id="rId4" display="https://www.alfaromeo.it/configuratore"/>
    <hyperlink ref="K17" r:id="rId5" display="https://www.lexus.it/gamma/nx/build"/>
    <hyperlink ref="K18" r:id="rId6" display="https://carconfigurator.ferrari.com/it_IT/ferrari_car_configurator/296gtb"/>
    <hyperlink ref="K19" r:id="rId7" display="https://configurator.lamborghini.com/configurator/model/32005-20111/MBV-24717-2027"/>
    <hyperlink ref="K20" r:id="rId8" display="https://configurator.astonmartin.com/INT/configuration/AM372"/>
    <hyperlink ref="K21" r:id="rId9" display="https://www.landrover.it/"/>
    <hyperlink ref="K22" r:id="rId10" display="https://www.mercedes-benz.it/"/>
    <hyperlink ref="K23" r:id="rId11" display="https://www.audi.it/"/>
    <hyperlink ref="K24" r:id="rId12" display="https://configurator.bentleymotors.com/"/>
    <hyperlink ref="K25" r:id="rId13" display="https://www.tesla.com/it_it/models/desig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0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18" t="s">
        <v>90</v>
      </c>
      <c r="B1" s="18" t="s">
        <v>91</v>
      </c>
      <c r="C1" s="18" t="s">
        <v>17</v>
      </c>
    </row>
    <row r="2" customFormat="false" ht="15" hidden="false" customHeight="false" outlineLevel="0" collapsed="false">
      <c r="A2" s="19" t="n">
        <v>1</v>
      </c>
      <c r="B2" s="19" t="s">
        <v>92</v>
      </c>
      <c r="C2" s="19" t="s">
        <v>93</v>
      </c>
    </row>
    <row r="3" customFormat="false" ht="15" hidden="false" customHeight="false" outlineLevel="0" collapsed="false">
      <c r="A3" s="19" t="n">
        <v>2</v>
      </c>
      <c r="B3" s="19" t="s">
        <v>94</v>
      </c>
      <c r="C3" s="19" t="s">
        <v>95</v>
      </c>
    </row>
    <row r="4" customFormat="false" ht="15" hidden="false" customHeight="false" outlineLevel="0" collapsed="false">
      <c r="A4" s="19" t="n">
        <v>3</v>
      </c>
      <c r="B4" s="19" t="s">
        <v>96</v>
      </c>
      <c r="C4" s="19" t="s">
        <v>97</v>
      </c>
    </row>
    <row r="5" customFormat="false" ht="15" hidden="false" customHeight="false" outlineLevel="0" collapsed="false">
      <c r="A5" s="19" t="n">
        <v>4</v>
      </c>
      <c r="B5" s="19" t="s">
        <v>98</v>
      </c>
      <c r="C5" s="19"/>
    </row>
    <row r="6" customFormat="false" ht="15" hidden="false" customHeight="false" outlineLevel="0" collapsed="false">
      <c r="A6" s="19" t="n">
        <v>5</v>
      </c>
      <c r="B6" s="19" t="s">
        <v>99</v>
      </c>
      <c r="C6" s="19" t="s">
        <v>100</v>
      </c>
    </row>
    <row r="7" customFormat="false" ht="15" hidden="false" customHeight="false" outlineLevel="0" collapsed="false">
      <c r="A7" s="19" t="n">
        <v>6</v>
      </c>
      <c r="B7" s="19" t="s">
        <v>101</v>
      </c>
      <c r="C7" s="19" t="s">
        <v>102</v>
      </c>
    </row>
    <row r="8" customFormat="false" ht="26.85" hidden="false" customHeight="false" outlineLevel="0" collapsed="false">
      <c r="A8" s="19" t="n">
        <v>7</v>
      </c>
      <c r="B8" s="19" t="s">
        <v>103</v>
      </c>
      <c r="C8" s="19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3" t="s">
        <v>105</v>
      </c>
    </row>
    <row r="2" customFormat="false" ht="15" hidden="false" customHeight="false" outlineLevel="0" collapsed="false">
      <c r="A2" s="20" t="s">
        <v>106</v>
      </c>
    </row>
    <row r="3" customFormat="false" ht="15" hidden="false" customHeight="false" outlineLevel="0" collapsed="false">
      <c r="A3" s="20" t="s">
        <v>107</v>
      </c>
    </row>
    <row r="4" customFormat="false" ht="15" hidden="false" customHeight="false" outlineLevel="0" collapsed="false">
      <c r="A4" s="20" t="s">
        <v>108</v>
      </c>
    </row>
    <row r="5" customFormat="false" ht="15" hidden="false" customHeight="false" outlineLevel="0" collapsed="false">
      <c r="A5" s="20"/>
    </row>
    <row r="6" customFormat="false" ht="15" hidden="false" customHeight="false" outlineLevel="0" collapsed="false">
      <c r="A6" s="3" t="s">
        <v>109</v>
      </c>
    </row>
    <row r="7" customFormat="false" ht="15" hidden="false" customHeight="false" outlineLevel="0" collapsed="false">
      <c r="A7" s="20" t="s">
        <v>110</v>
      </c>
    </row>
    <row r="8" customFormat="false" ht="15" hidden="false" customHeight="false" outlineLevel="0" collapsed="false">
      <c r="A8" s="20" t="s">
        <v>111</v>
      </c>
    </row>
    <row r="9" customFormat="false" ht="15" hidden="false" customHeight="false" outlineLevel="0" collapsed="false">
      <c r="A9" s="20" t="s">
        <v>112</v>
      </c>
    </row>
    <row r="10" customFormat="false" ht="15" hidden="false" customHeight="false" outlineLevel="0" collapsed="false">
      <c r="A10" s="20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2026-10-15T12:55:58Z</dcterms:created>
  <dc:creator>openpyxl</dc:creator>
  <dc:description/>
  <dc:language>en-US</dc:language>
  <cp:lastModifiedBy/>
  <dcterms:modified xsi:type="dcterms:W3CDTF">2026-10-15T12:55:58Z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